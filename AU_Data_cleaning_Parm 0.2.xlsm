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ngWu\Desktop\AUDATACLEANSING-DEV\BPR Process\Input\"/>
    </mc:Choice>
  </mc:AlternateContent>
  <bookViews>
    <workbookView xWindow="0" yWindow="468" windowWidth="24108" windowHeight="15432" tabRatio="665" firstSheet="1" activeTab="1"/>
  </bookViews>
  <sheets>
    <sheet name="Version_Control" sheetId="12" r:id="rId1"/>
    <sheet name="AU_data_cleaning_Parm" sheetId="2" r:id="rId2"/>
    <sheet name="Manual_Run" sheetId="19" r:id="rId3"/>
    <sheet name="F1_Header" sheetId="21" r:id="rId4"/>
    <sheet name="Summary sample" sheetId="22" r:id="rId5"/>
  </sheets>
  <functionGroups builtInGroupCount="18"/>
  <externalReferences>
    <externalReference r:id="rId6"/>
    <externalReference r:id="rId7"/>
  </externalReferences>
  <definedNames>
    <definedName name="_PM2">[1]RatesTable!$A$43:$A$44</definedName>
    <definedName name="ValidCountries" localSheetId="2">#REF!</definedName>
    <definedName name="ValidCountries">#REF!</definedName>
    <definedName name="YESNO">[2]LookUps!$P$9:$P$10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8" i="2" l="1"/>
  <c r="I3" i="21" l="1"/>
  <c r="H3" i="21"/>
  <c r="G3" i="21"/>
  <c r="F3" i="21"/>
  <c r="E3" i="21"/>
  <c r="D3" i="21"/>
  <c r="C3" i="21"/>
  <c r="B3" i="21"/>
  <c r="A3" i="21"/>
  <c r="B10" i="2" l="1"/>
  <c r="B9" i="2"/>
  <c r="B7" i="2"/>
  <c r="B6" i="2"/>
  <c r="B11" i="2" l="1"/>
  <c r="B2" i="2"/>
</calcChain>
</file>

<file path=xl/sharedStrings.xml><?xml version="1.0" encoding="utf-8"?>
<sst xmlns="http://schemas.openxmlformats.org/spreadsheetml/2006/main" count="150" uniqueCount="98">
  <si>
    <t>SMTP server</t>
  </si>
  <si>
    <t>Value</t>
  </si>
  <si>
    <t>Usage/Comments</t>
  </si>
  <si>
    <t>Input</t>
  </si>
  <si>
    <t>Y</t>
  </si>
  <si>
    <t>Output</t>
  </si>
  <si>
    <t>Unique_Parm_ID</t>
  </si>
  <si>
    <t>3. For manual run, update Run_by_Robot Flag to N before running Macro. If flag is set to Y, users will not be promted with error messages on the screens.</t>
  </si>
  <si>
    <t>N/A</t>
  </si>
  <si>
    <t>Parm_File</t>
  </si>
  <si>
    <t>Zipped &amp; Removed</t>
  </si>
  <si>
    <t>Root_Folder</t>
  </si>
  <si>
    <t>R1_From_Email</t>
  </si>
  <si>
    <t>File Error Messages</t>
  </si>
  <si>
    <t>R1_To_Payroll_Team_Email_List</t>
  </si>
  <si>
    <t>R1_To_Tech_Support_To_Emails</t>
  </si>
  <si>
    <t>R1_SMTP_Server</t>
  </si>
  <si>
    <t>R1_Run_by_Robot</t>
  </si>
  <si>
    <t>This is used for quick updates of file path abov.</t>
  </si>
  <si>
    <t>I/O File</t>
  </si>
  <si>
    <t>Zip file containing all input &amp; output files</t>
  </si>
  <si>
    <t>Version</t>
  </si>
  <si>
    <t>Changed Date</t>
  </si>
  <si>
    <t>Changed By</t>
  </si>
  <si>
    <t>Summary</t>
  </si>
  <si>
    <t>Initial version</t>
  </si>
  <si>
    <t>2. Fix error messages(if any) in column F before run Robot.</t>
  </si>
  <si>
    <r>
      <rPr>
        <sz val="11"/>
        <color theme="1"/>
        <rFont val="Calibri"/>
        <family val="2"/>
      </rPr>
      <t>from email</t>
    </r>
    <r>
      <rPr>
        <b/>
        <sz val="11"/>
        <color theme="1"/>
        <rFont val="Calibri"/>
        <family val="2"/>
      </rPr>
      <t xml:space="preserve"> (only ONE)</t>
    </r>
  </si>
  <si>
    <r>
      <t xml:space="preserve">payroll team emails, </t>
    </r>
    <r>
      <rPr>
        <b/>
        <sz val="11"/>
        <color theme="1"/>
        <rFont val="Calibri"/>
        <family val="2"/>
      </rPr>
      <t>separated by semi colon (;)</t>
    </r>
  </si>
  <si>
    <r>
      <t xml:space="preserve">tech support emails, </t>
    </r>
    <r>
      <rPr>
        <b/>
        <sz val="11"/>
        <color theme="1"/>
        <rFont val="Calibri"/>
        <family val="2"/>
      </rPr>
      <t>separated by semi colon (;)</t>
    </r>
  </si>
  <si>
    <r>
      <t xml:space="preserve">Users Instructions: </t>
    </r>
    <r>
      <rPr>
        <b/>
        <u/>
        <sz val="14"/>
        <color rgb="FFC00000"/>
        <rFont val="Calibri"/>
        <family val="2"/>
      </rPr>
      <t>Only cells in white can/should be updated</t>
    </r>
  </si>
  <si>
    <t>The parm file.  Value is worked out by formula. No need to change</t>
    <phoneticPr fontId="2" type="noConversion"/>
  </si>
  <si>
    <t>aaib.au.ibm.com</t>
    <phoneticPr fontId="2" type="noConversion"/>
  </si>
  <si>
    <t>1. Update Current year and month in B3.</t>
    <phoneticPr fontId="2" type="noConversion"/>
  </si>
  <si>
    <t>R1_GV_Parm_File</t>
    <phoneticPr fontId="2" type="noConversion"/>
  </si>
  <si>
    <t>File contains GV Credentials</t>
  </si>
  <si>
    <r>
      <rPr>
        <b/>
        <sz val="11"/>
        <color theme="1"/>
        <rFont val="Calibri"/>
        <family val="2"/>
      </rPr>
      <t>Set to N when run macro manually.</t>
    </r>
    <r>
      <rPr>
        <sz val="11"/>
        <color theme="1"/>
        <rFont val="Calibri"/>
        <family val="2"/>
      </rPr>
      <t xml:space="preserve"> Robot will set to Y automatically before it runs</t>
    </r>
    <phoneticPr fontId="2" type="noConversion"/>
  </si>
  <si>
    <t>N</t>
    <phoneticPr fontId="2" type="noConversion"/>
  </si>
  <si>
    <t>Log file</t>
    <phoneticPr fontId="2" type="noConversion"/>
  </si>
  <si>
    <t>Macro error flag file</t>
    <phoneticPr fontId="2" type="noConversion"/>
  </si>
  <si>
    <t>&lt;== expected</t>
  </si>
  <si>
    <t>&lt;== error</t>
  </si>
  <si>
    <t>&lt;== actual</t>
    <phoneticPr fontId="2" type="noConversion"/>
  </si>
  <si>
    <t>Y - download files from GV, N - not download</t>
    <phoneticPr fontId="2" type="noConversion"/>
  </si>
  <si>
    <r>
      <t>4. The robot is triggered</t>
    </r>
    <r>
      <rPr>
        <sz val="11"/>
        <color rgb="FFFF0000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when IDBPRTrigger.txt  file is placed in Trigger folder.</t>
    </r>
    <r>
      <rPr>
        <sz val="11"/>
        <color theme="1"/>
        <rFont val="Calibri"/>
        <family val="2"/>
      </rPr>
      <t xml:space="preserve"> The File should be prepared in REF folder before it can be copied over to Trigger folder.</t>
    </r>
    <phoneticPr fontId="2" type="noConversion"/>
  </si>
  <si>
    <t>wangcydl@cn.ibm.com</t>
  </si>
  <si>
    <t>F5_Zip_File</t>
  </si>
  <si>
    <t>F6_Log_File</t>
  </si>
  <si>
    <t>F7_Macro_Error_Flag_File</t>
  </si>
  <si>
    <t>Alisa</t>
  </si>
  <si>
    <r>
      <t xml:space="preserve">If Robot does not work and cannot find out the root cause with resolution immediately, to </t>
    </r>
    <r>
      <rPr>
        <b/>
        <sz val="11"/>
        <color rgb="FF000000"/>
        <rFont val="Calibri"/>
        <family val="2"/>
      </rPr>
      <t xml:space="preserve">ensure business continuity, following buttons can be used to support manul process. </t>
    </r>
    <r>
      <rPr>
        <b/>
        <sz val="14"/>
        <color rgb="FF000000"/>
        <rFont val="Calibri"/>
        <family val="2"/>
      </rPr>
      <t xml:space="preserve">
</t>
    </r>
    <r>
      <rPr>
        <sz val="11"/>
        <color theme="8"/>
        <rFont val="Calibri"/>
        <family val="2"/>
      </rPr>
      <t xml:space="preserve">To process following buttons, there are 2 key prerequisites, 
1) Ensure "R1_Run_by_Robot" in "AU_data_cleaning_Parm" sheet set as "N"
2) Ensure this file "AU_data_cleaning_Parm" sheet column F no error message. If any error message fix it before click on following buttons. </t>
    </r>
    <r>
      <rPr>
        <sz val="14"/>
        <color rgb="FF000000"/>
        <rFont val="Calibri"/>
        <family val="2"/>
      </rPr>
      <t xml:space="preserve">
</t>
    </r>
  </si>
  <si>
    <t>SSL_PAWB_GVPIBM_AU sample</t>
  </si>
  <si>
    <t>F3_SSL_PAWB_GVPIBM_AU</t>
  </si>
  <si>
    <t>SSL_PAWB_GVPIBM_AU Report</t>
  </si>
  <si>
    <t>Current_pay_cycle</t>
  </si>
  <si>
    <t>F2_SSL_PAWB_GVPIBM_AU_sample</t>
  </si>
  <si>
    <t>R1_Download_GV</t>
  </si>
  <si>
    <t>Current pay cycle with format QM YYYYMM or QF YYYYMM</t>
  </si>
  <si>
    <t>F1_AU_DATA_CLEANSING</t>
  </si>
  <si>
    <t>AU Data cleansing Report</t>
  </si>
  <si>
    <t>Pers.No.</t>
  </si>
  <si>
    <t>Personnel Number</t>
  </si>
  <si>
    <t>S</t>
  </si>
  <si>
    <t>Employment Status</t>
  </si>
  <si>
    <t>Type</t>
  </si>
  <si>
    <t>House number and street</t>
  </si>
  <si>
    <t>City</t>
  </si>
  <si>
    <t>District</t>
  </si>
  <si>
    <t>Postal Code</t>
  </si>
  <si>
    <t>Country Key</t>
  </si>
  <si>
    <t>2nd Address Line</t>
  </si>
  <si>
    <t>Region (State, Province, Count</t>
  </si>
  <si>
    <t>PArea</t>
  </si>
  <si>
    <t>New TFN - Tax File Number</t>
  </si>
  <si>
    <t>PERSONID_EXT</t>
  </si>
  <si>
    <t>Birth date</t>
  </si>
  <si>
    <t>Summary Information for AU Data Cleansing in yyyymm paycycle (monthly/fornightly)</t>
  </si>
  <si>
    <t>xxx</t>
  </si>
  <si>
    <t>Employees had correction on Col - House number and street</t>
  </si>
  <si>
    <t>yyy</t>
  </si>
  <si>
    <t>Employees had correction on Col - City</t>
  </si>
  <si>
    <t>zzz</t>
  </si>
  <si>
    <t>Employees had correction on Col - 2nd Address Line</t>
  </si>
  <si>
    <t>sss</t>
  </si>
  <si>
    <t>Employees had invalid TFN</t>
  </si>
  <si>
    <t>Alert Information :</t>
  </si>
  <si>
    <t>Alert Reason</t>
  </si>
  <si>
    <t>Alert Value</t>
  </si>
  <si>
    <t>F4_AU_DATA_CLEANSING_after_automatic_run</t>
  </si>
  <si>
    <t>SSL_PAWB_GVPIBM_AU Report after automation run</t>
  </si>
  <si>
    <t>Current_pay_cycle_startdate</t>
  </si>
  <si>
    <t>Current pay cycle to the value of start date</t>
  </si>
  <si>
    <t>Add Current_pay_cycle_startdate</t>
  </si>
  <si>
    <t>QM 201707</t>
  </si>
  <si>
    <t>C:\Users\BingWu\Desktop\AUDATACLEANSING-DEV\Common\GV_Parm.xlsm</t>
  </si>
  <si>
    <t>C:\Users\BingWu\Desktop\AUDATACLEANSING-DEV\BPR Process\</t>
  </si>
  <si>
    <t>TFN - Tax File Number</t>
  </si>
  <si>
    <t>bbuwu@cn.ibm.com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</si>
</sst>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C09]#,##0.00;[Red]\-[$$-C09]#,##0.00"/>
  </numFmts>
  <fonts count="27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1E5AF7"/>
      <name val="Calibri"/>
      <family val="2"/>
    </font>
    <font>
      <b/>
      <u/>
      <sz val="14"/>
      <color theme="1"/>
      <name val="Calibri"/>
      <family val="2"/>
    </font>
    <font>
      <b/>
      <u/>
      <sz val="14"/>
      <color rgb="FFC00000"/>
      <name val="Calibri"/>
      <family val="2"/>
    </font>
    <font>
      <b/>
      <u/>
      <sz val="11"/>
      <color theme="1"/>
      <name val="Calibri"/>
      <family val="2"/>
    </font>
    <font>
      <b/>
      <sz val="7"/>
      <color rgb="FF1970B0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8"/>
      <name val="Calibri"/>
      <family val="2"/>
    </font>
    <font>
      <sz val="14"/>
      <color rgb="FF000000"/>
      <name val="Calibri"/>
      <family val="2"/>
    </font>
    <font>
      <sz val="11"/>
      <color rgb="FF1E5AF7"/>
      <name val="Calibri"/>
      <family val="2"/>
    </font>
    <font>
      <sz val="11"/>
      <color theme="1"/>
      <name val="Calibri"/>
      <family val="3"/>
      <charset val="134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9C0006"/>
      <name val="Calibri"/>
      <family val="2"/>
      <charset val="134"/>
      <scheme val="minor"/>
    </font>
    <font>
      <sz val="8"/>
      <color theme="1"/>
      <name val="Calibri"/>
      <family val="2"/>
    </font>
    <font>
      <sz val="8"/>
      <color rgb="FF9C0006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22"/>
      </patternFill>
    </fill>
    <fill>
      <patternFill patternType="solid">
        <fgColor rgb="FFFFFF00"/>
        <bgColor indexed="22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">
    <xf numFmtId="164" fontId="0" fillId="0" borderId="0"/>
    <xf numFmtId="0" fontId="1" fillId="0" borderId="0"/>
    <xf numFmtId="0" fontId="19" fillId="0" borderId="0">
      <alignment vertical="center"/>
    </xf>
    <xf numFmtId="0" fontId="22" fillId="6" borderId="0" applyNumberFormat="0" applyBorder="0" applyAlignment="0" applyProtection="0">
      <alignment vertical="center"/>
    </xf>
    <xf numFmtId="164" fontId="25" fillId="0" borderId="0" applyNumberFormat="0" applyFill="0" applyBorder="0" applyAlignment="0" applyProtection="0"/>
  </cellStyleXfs>
  <cellXfs count="64">
    <xf numFmtId="164" fontId="0" fillId="0" borderId="0" xfId="0"/>
    <xf numFmtId="164" fontId="3" fillId="3" borderId="1" xfId="0" applyFont="1" applyFill="1" applyBorder="1"/>
    <xf numFmtId="164" fontId="4" fillId="0" borderId="0" xfId="0" applyFont="1"/>
    <xf numFmtId="0" fontId="3" fillId="3" borderId="1" xfId="0" applyNumberFormat="1" applyFont="1" applyFill="1" applyBorder="1"/>
    <xf numFmtId="0" fontId="4" fillId="0" borderId="1" xfId="0" applyNumberFormat="1" applyFont="1" applyBorder="1"/>
    <xf numFmtId="14" fontId="4" fillId="0" borderId="1" xfId="0" applyNumberFormat="1" applyFont="1" applyBorder="1"/>
    <xf numFmtId="164" fontId="4" fillId="0" borderId="1" xfId="0" applyFont="1" applyBorder="1"/>
    <xf numFmtId="0" fontId="4" fillId="0" borderId="1" xfId="0" quotePrefix="1" applyNumberFormat="1" applyFont="1" applyBorder="1"/>
    <xf numFmtId="164" fontId="4" fillId="0" borderId="0" xfId="0" applyFont="1" applyAlignment="1">
      <alignment vertical="top" wrapText="1"/>
    </xf>
    <xf numFmtId="164" fontId="3" fillId="0" borderId="0" xfId="0" applyFont="1" applyAlignment="1">
      <alignment horizontal="left" vertical="top"/>
    </xf>
    <xf numFmtId="164" fontId="4" fillId="0" borderId="0" xfId="0" applyFont="1" applyAlignment="1">
      <alignment horizontal="left" vertical="top"/>
    </xf>
    <xf numFmtId="0" fontId="18" fillId="0" borderId="1" xfId="0" applyNumberFormat="1" applyFont="1" applyFill="1" applyBorder="1" applyAlignment="1" applyProtection="1">
      <alignment horizontal="left"/>
      <protection locked="0"/>
    </xf>
    <xf numFmtId="164" fontId="4" fillId="0" borderId="0" xfId="0" applyFont="1" applyAlignment="1"/>
    <xf numFmtId="0" fontId="3" fillId="3" borderId="1" xfId="0" applyNumberFormat="1" applyFont="1" applyFill="1" applyBorder="1" applyAlignment="1">
      <alignment wrapText="1"/>
    </xf>
    <xf numFmtId="0" fontId="3" fillId="3" borderId="1" xfId="0" applyNumberFormat="1" applyFont="1" applyFill="1" applyBorder="1" applyProtection="1">
      <protection locked="0"/>
    </xf>
    <xf numFmtId="0" fontId="4" fillId="0" borderId="0" xfId="0" applyNumberFormat="1" applyFont="1"/>
    <xf numFmtId="0" fontId="4" fillId="5" borderId="1" xfId="0" applyNumberFormat="1" applyFont="1" applyFill="1" applyBorder="1" applyProtection="1"/>
    <xf numFmtId="0" fontId="4" fillId="5" borderId="1" xfId="0" applyNumberFormat="1" applyFont="1" applyFill="1" applyBorder="1"/>
    <xf numFmtId="0" fontId="4" fillId="5" borderId="1" xfId="0" applyNumberFormat="1" applyFont="1" applyFill="1" applyBorder="1" applyAlignment="1">
      <alignment wrapText="1"/>
    </xf>
    <xf numFmtId="0" fontId="5" fillId="4" borderId="1" xfId="0" applyNumberFormat="1" applyFont="1" applyFill="1" applyBorder="1" applyProtection="1">
      <protection locked="0"/>
    </xf>
    <xf numFmtId="0" fontId="6" fillId="0" borderId="1" xfId="0" applyNumberFormat="1" applyFont="1" applyFill="1" applyBorder="1" applyProtection="1">
      <protection locked="0"/>
    </xf>
    <xf numFmtId="0" fontId="3" fillId="5" borderId="1" xfId="0" applyNumberFormat="1" applyFont="1" applyFill="1" applyBorder="1"/>
    <xf numFmtId="0" fontId="4" fillId="0" borderId="0" xfId="0" applyNumberFormat="1" applyFont="1" applyFill="1" applyBorder="1"/>
    <xf numFmtId="0" fontId="4" fillId="0" borderId="0" xfId="0" applyNumberFormat="1" applyFont="1" applyFill="1" applyBorder="1" applyAlignment="1">
      <alignment wrapText="1"/>
    </xf>
    <xf numFmtId="0" fontId="4" fillId="0" borderId="0" xfId="0" applyNumberFormat="1" applyFont="1" applyFill="1" applyBorder="1" applyProtection="1">
      <protection locked="0"/>
    </xf>
    <xf numFmtId="0" fontId="4" fillId="0" borderId="0" xfId="0" applyNumberFormat="1" applyFont="1" applyFill="1"/>
    <xf numFmtId="0" fontId="7" fillId="0" borderId="2" xfId="0" applyNumberFormat="1" applyFont="1" applyFill="1" applyBorder="1"/>
    <xf numFmtId="0" fontId="4" fillId="0" borderId="3" xfId="0" applyNumberFormat="1" applyFont="1" applyFill="1" applyBorder="1"/>
    <xf numFmtId="0" fontId="4" fillId="0" borderId="4" xfId="0" applyNumberFormat="1" applyFont="1" applyFill="1" applyBorder="1" applyProtection="1">
      <protection locked="0"/>
    </xf>
    <xf numFmtId="0" fontId="4" fillId="0" borderId="5" xfId="0" applyNumberFormat="1" applyFont="1" applyFill="1" applyBorder="1"/>
    <xf numFmtId="0" fontId="4" fillId="0" borderId="6" xfId="0" applyNumberFormat="1" applyFont="1" applyFill="1" applyBorder="1" applyProtection="1">
      <protection locked="0"/>
    </xf>
    <xf numFmtId="0" fontId="4" fillId="0" borderId="5" xfId="0" applyNumberFormat="1" applyFont="1" applyFill="1" applyBorder="1" applyAlignment="1"/>
    <xf numFmtId="0" fontId="4" fillId="0" borderId="7" xfId="0" applyNumberFormat="1" applyFont="1" applyFill="1" applyBorder="1"/>
    <xf numFmtId="0" fontId="4" fillId="0" borderId="8" xfId="0" applyNumberFormat="1" applyFont="1" applyFill="1" applyBorder="1"/>
    <xf numFmtId="0" fontId="4" fillId="0" borderId="9" xfId="0" applyNumberFormat="1" applyFont="1" applyFill="1" applyBorder="1" applyProtection="1">
      <protection locked="0"/>
    </xf>
    <xf numFmtId="0" fontId="9" fillId="2" borderId="0" xfId="0" applyNumberFormat="1" applyFont="1" applyFill="1"/>
    <xf numFmtId="0" fontId="4" fillId="2" borderId="0" xfId="0" applyNumberFormat="1" applyFont="1" applyFill="1"/>
    <xf numFmtId="0" fontId="4" fillId="0" borderId="0" xfId="0" applyNumberFormat="1" applyFont="1" applyProtection="1">
      <protection locked="0"/>
    </xf>
    <xf numFmtId="0" fontId="10" fillId="0" borderId="0" xfId="0" applyNumberFormat="1" applyFont="1" applyAlignment="1">
      <alignment vertical="top"/>
    </xf>
    <xf numFmtId="0" fontId="11" fillId="0" borderId="0" xfId="0" applyNumberFormat="1" applyFont="1" applyAlignment="1">
      <alignment vertical="top" wrapText="1"/>
    </xf>
    <xf numFmtId="0" fontId="11" fillId="0" borderId="0" xfId="0" applyNumberFormat="1" applyFont="1" applyAlignment="1">
      <alignment vertical="top"/>
    </xf>
    <xf numFmtId="0" fontId="12" fillId="0" borderId="0" xfId="0" applyNumberFormat="1" applyFont="1" applyBorder="1" applyAlignment="1">
      <alignment vertical="center"/>
    </xf>
    <xf numFmtId="0" fontId="13" fillId="0" borderId="0" xfId="0" applyNumberFormat="1" applyFont="1" applyBorder="1" applyAlignment="1">
      <alignment vertical="center"/>
    </xf>
    <xf numFmtId="164" fontId="18" fillId="0" borderId="1" xfId="0" applyFont="1" applyFill="1" applyBorder="1"/>
    <xf numFmtId="0" fontId="20" fillId="5" borderId="1" xfId="0" applyNumberFormat="1" applyFont="1" applyFill="1" applyBorder="1" applyAlignment="1">
      <alignment vertical="top" wrapText="1"/>
    </xf>
    <xf numFmtId="0" fontId="14" fillId="0" borderId="0" xfId="0" applyNumberFormat="1" applyFont="1" applyFill="1" applyBorder="1" applyAlignment="1">
      <alignment wrapText="1"/>
    </xf>
    <xf numFmtId="0" fontId="20" fillId="0" borderId="0" xfId="0" applyNumberFormat="1" applyFont="1" applyFill="1" applyBorder="1" applyAlignment="1">
      <alignment vertical="top" wrapText="1"/>
    </xf>
    <xf numFmtId="0" fontId="20" fillId="5" borderId="1" xfId="0" applyNumberFormat="1" applyFont="1" applyFill="1" applyBorder="1" applyAlignment="1">
      <alignment wrapText="1"/>
    </xf>
    <xf numFmtId="0" fontId="21" fillId="5" borderId="1" xfId="0" applyNumberFormat="1" applyFont="1" applyFill="1" applyBorder="1" applyAlignment="1">
      <alignment wrapText="1"/>
    </xf>
    <xf numFmtId="0" fontId="23" fillId="7" borderId="1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/>
    <xf numFmtId="0" fontId="24" fillId="6" borderId="1" xfId="3" applyNumberFormat="1" applyFont="1" applyBorder="1" applyAlignment="1"/>
    <xf numFmtId="0" fontId="23" fillId="0" borderId="0" xfId="0" applyNumberFormat="1" applyFont="1" applyProtection="1"/>
    <xf numFmtId="164" fontId="25" fillId="0" borderId="1" xfId="4" applyFill="1" applyBorder="1"/>
    <xf numFmtId="164" fontId="4" fillId="0" borderId="0" xfId="0" applyFont="1" applyAlignment="1">
      <alignment horizontal="left" vertical="top" wrapText="1"/>
    </xf>
    <xf numFmtId="0" fontId="21" fillId="5" borderId="1" xfId="0" applyNumberFormat="1" applyFont="1" applyFill="1" applyBorder="1"/>
    <xf numFmtId="0" fontId="23" fillId="8" borderId="1" xfId="0" applyNumberFormat="1" applyFont="1" applyFill="1" applyBorder="1" applyAlignment="1" applyProtection="1">
      <alignment horizontal="center" vertical="center" wrapText="1"/>
    </xf>
    <xf numFmtId="0" fontId="18" fillId="0" borderId="1" xfId="0" applyNumberFormat="1" applyFont="1" applyFill="1" applyBorder="1" applyProtection="1"/>
    <xf numFmtId="0" fontId="26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right"/>
    </xf>
    <xf numFmtId="0" fontId="26" fillId="0" borderId="0" xfId="0" applyNumberFormat="1" applyFont="1" applyFill="1"/>
    <xf numFmtId="0" fontId="0" fillId="0" borderId="0" xfId="0" applyNumberFormat="1" applyFill="1"/>
    <xf numFmtId="164" fontId="4" fillId="0" borderId="0" xfId="0" applyFont="1" applyAlignment="1">
      <alignment horizontal="left" vertical="top" wrapText="1"/>
    </xf>
  </cellXfs>
  <cellStyles count="5">
    <cellStyle name="Bad" xfId="3" builtinId="27"/>
    <cellStyle name="Hyperlink" xfId="4" builtinId="8"/>
    <cellStyle name="Normal" xfId="0" builtinId="0"/>
    <cellStyle name="Normal 2" xfId="2"/>
    <cellStyle name="Normal 2 2" xfId="1"/>
  </cellStyles>
  <dxfs count="0"/>
  <tableStyles count="0" defaultTableStyle="TableStyleMedium2" defaultPivotStyle="PivotStyleLight16"/>
  <colors>
    <mruColors>
      <color rgb="FF1E5AF7"/>
      <color rgb="FFF2FCD0"/>
      <color rgb="FFF6D6F6"/>
      <color rgb="FF8FD7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1651000</xdr:colOff>
      <xdr:row>6</xdr:row>
      <xdr:rowOff>0</xdr:rowOff>
    </xdr:from>
    <xdr:to>
      <xdr:col>0</xdr:col>
      <xdr:colOff>3937000</xdr:colOff>
      <xdr:row>9</xdr:row>
      <xdr:rowOff>22860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1651000" y="1457325"/>
          <a:ext cx="2286000" cy="5943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1651000</xdr:colOff>
      <xdr:row>6</xdr:row>
      <xdr:rowOff>0</xdr:rowOff>
    </xdr:from>
    <xdr:to>
      <xdr:col>0</xdr:col>
      <xdr:colOff>3937000</xdr:colOff>
      <xdr:row>9</xdr:row>
      <xdr:rowOff>34290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651000" y="1457325"/>
          <a:ext cx="2286000" cy="6057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1651000</xdr:colOff>
      <xdr:row>7</xdr:row>
      <xdr:rowOff>0</xdr:rowOff>
    </xdr:from>
    <xdr:to>
      <xdr:col>0</xdr:col>
      <xdr:colOff>3937000</xdr:colOff>
      <xdr:row>10</xdr:row>
      <xdr:rowOff>22860</xdr:rowOff>
    </xdr:to>
    <xdr:sp macro="" textlink="">
      <xdr:nvSpPr>
        <xdr:cNvPr id="4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1651000" y="1647825"/>
          <a:ext cx="2286000" cy="5943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6</xdr:row>
          <xdr:rowOff>38100</xdr:rowOff>
        </xdr:from>
        <xdr:to>
          <xdr:col>0</xdr:col>
          <xdr:colOff>3832860</xdr:colOff>
          <xdr:row>10</xdr:row>
          <xdr:rowOff>22860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AppData/Local/Temp/notes32C5CD/Financials%20Tracker%2020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ountIDs"/>
      <sheetName val="AppPortfolioDoc"/>
      <sheetName val="Dev"/>
      <sheetName val="Support"/>
      <sheetName val="ICA"/>
      <sheetName val="Summary Dev"/>
      <sheetName val="Summary Sup"/>
      <sheetName val="Summary ICA"/>
      <sheetName val="Forecast ICA Dev"/>
      <sheetName val="Forecast Sup"/>
      <sheetName val="Forecast Sup Hours"/>
      <sheetName val="ForecastSumm"/>
      <sheetName val="RatesTable"/>
      <sheetName val="GL Financials"/>
      <sheetName val="US Costs"/>
      <sheetName val="Meteor"/>
      <sheetName val="FPTJapan"/>
      <sheetName val="P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3">
          <cell r="A43" t="str">
            <v>SG</v>
          </cell>
        </row>
        <row r="44">
          <cell r="A44" t="str">
            <v>SR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ountIDs"/>
      <sheetName val="AppPortfolioDoc"/>
      <sheetName val="ResourceAllocation"/>
      <sheetName val="Forecast&amp;Actuals"/>
      <sheetName val="LiquidDetails"/>
      <sheetName val="ResourceByAcctID"/>
      <sheetName val="ResourceActivity"/>
      <sheetName val="ResourcePlan"/>
      <sheetName val="Unknown Employees"/>
      <sheetName val="DEV"/>
      <sheetName val="Support"/>
      <sheetName val="ICA"/>
      <sheetName val="Summary DEV"/>
      <sheetName val="Summary Sup"/>
      <sheetName val="Summary ICA"/>
      <sheetName val="Forecast"/>
      <sheetName val="LookUps"/>
      <sheetName val="Raw Data"/>
      <sheetName val="CostRates"/>
      <sheetName val="Misc"/>
      <sheetName val="ICA Vs Dept"/>
    </sheetNames>
    <sheetDataSet>
      <sheetData sheetId="0">
        <row r="2">
          <cell r="A2" t="str">
            <v>DS GUIDE Support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9">
          <cell r="P9" t="str">
            <v>Y</v>
          </cell>
        </row>
        <row r="10">
          <cell r="P10" t="str">
            <v>N</v>
          </cell>
        </row>
      </sheetData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wangcydl@cn.ibm.com" TargetMode="External"/><Relationship Id="rId2" Type="http://schemas.openxmlformats.org/officeDocument/2006/relationships/hyperlink" Target="mailto:bbuwu@cn.ibm.com" TargetMode="External"/><Relationship Id="rId1" Type="http://schemas.openxmlformats.org/officeDocument/2006/relationships/hyperlink" Target="mailto:bbuwu@cn.ibm.co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6"/>
  <sheetViews>
    <sheetView showGridLines="0" workbookViewId="0">
      <selection activeCell="D9" sqref="D9"/>
    </sheetView>
  </sheetViews>
  <sheetFormatPr defaultColWidth="8.88671875" defaultRowHeight="14.4"/>
  <cols>
    <col min="1" max="1" width="7.109375" style="2" customWidth="1"/>
    <col min="2" max="2" width="14.44140625" style="2" customWidth="1"/>
    <col min="3" max="3" width="12.109375" style="2" customWidth="1"/>
    <col min="4" max="4" width="136.44140625" style="2" customWidth="1"/>
    <col min="5" max="16384" width="8.88671875" style="2"/>
  </cols>
  <sheetData>
    <row r="1" spans="1:4">
      <c r="A1" s="3" t="s">
        <v>21</v>
      </c>
      <c r="B1" s="1" t="s">
        <v>22</v>
      </c>
      <c r="C1" s="1" t="s">
        <v>23</v>
      </c>
      <c r="D1" s="1" t="s">
        <v>24</v>
      </c>
    </row>
    <row r="2" spans="1:4">
      <c r="A2" s="4">
        <v>0.1</v>
      </c>
      <c r="B2" s="5">
        <v>43157</v>
      </c>
      <c r="C2" s="6" t="s">
        <v>49</v>
      </c>
      <c r="D2" s="6" t="s">
        <v>25</v>
      </c>
    </row>
    <row r="3" spans="1:4">
      <c r="A3" s="4">
        <v>0.2</v>
      </c>
      <c r="B3" s="5">
        <v>43161</v>
      </c>
      <c r="C3" s="6" t="s">
        <v>49</v>
      </c>
      <c r="D3" s="6" t="s">
        <v>92</v>
      </c>
    </row>
    <row r="4" spans="1:4">
      <c r="A4" s="7"/>
      <c r="B4" s="5"/>
      <c r="C4" s="6"/>
      <c r="D4" s="6"/>
    </row>
    <row r="5" spans="1:4">
      <c r="A5" s="7"/>
      <c r="B5" s="5"/>
      <c r="C5" s="6"/>
      <c r="D5" s="6"/>
    </row>
    <row r="6" spans="1:4">
      <c r="A6" s="7"/>
      <c r="B6" s="5"/>
      <c r="C6" s="6"/>
      <c r="D6" s="6"/>
    </row>
    <row r="7" spans="1:4">
      <c r="A7" s="7"/>
      <c r="B7" s="5"/>
      <c r="C7" s="6"/>
      <c r="D7" s="6"/>
    </row>
    <row r="8" spans="1:4">
      <c r="A8" s="7"/>
      <c r="B8" s="5"/>
      <c r="C8" s="6"/>
      <c r="D8" s="6"/>
    </row>
    <row r="9" spans="1:4">
      <c r="A9" s="7"/>
      <c r="B9" s="5"/>
      <c r="C9" s="6"/>
      <c r="D9" s="6"/>
    </row>
    <row r="10" spans="1:4">
      <c r="A10" s="7"/>
      <c r="B10" s="5"/>
      <c r="C10" s="6"/>
      <c r="D10" s="6"/>
    </row>
    <row r="11" spans="1:4">
      <c r="A11" s="7"/>
      <c r="B11" s="5"/>
      <c r="C11" s="6"/>
      <c r="D11" s="6"/>
    </row>
    <row r="12" spans="1:4">
      <c r="A12" s="4"/>
      <c r="B12" s="5"/>
      <c r="C12" s="6"/>
      <c r="D12" s="6"/>
    </row>
    <row r="13" spans="1:4">
      <c r="A13" s="4"/>
      <c r="B13" s="5"/>
      <c r="C13" s="6"/>
      <c r="D13" s="6"/>
    </row>
    <row r="14" spans="1:4">
      <c r="A14" s="4"/>
      <c r="B14" s="5"/>
      <c r="C14" s="6"/>
      <c r="D14" s="6"/>
    </row>
    <row r="15" spans="1:4">
      <c r="A15" s="4"/>
      <c r="B15" s="5"/>
      <c r="C15" s="6"/>
      <c r="D15" s="6"/>
    </row>
    <row r="16" spans="1:4">
      <c r="A16" s="4"/>
      <c r="B16" s="5"/>
      <c r="C16" s="6"/>
      <c r="D16" s="6"/>
    </row>
    <row r="17" spans="1:4">
      <c r="A17" s="4"/>
      <c r="B17" s="5"/>
      <c r="C17" s="6"/>
      <c r="D17" s="6"/>
    </row>
    <row r="18" spans="1:4">
      <c r="A18" s="4"/>
      <c r="B18" s="5"/>
      <c r="C18" s="6"/>
      <c r="D18" s="6"/>
    </row>
    <row r="19" spans="1:4">
      <c r="A19" s="4"/>
      <c r="B19" s="5"/>
      <c r="C19" s="6"/>
      <c r="D19" s="6"/>
    </row>
    <row r="20" spans="1:4">
      <c r="A20" s="4"/>
      <c r="B20" s="5"/>
      <c r="C20" s="6"/>
      <c r="D20" s="6"/>
    </row>
    <row r="21" spans="1:4">
      <c r="A21" s="6"/>
      <c r="B21" s="6"/>
      <c r="C21" s="6"/>
      <c r="D21" s="6"/>
    </row>
    <row r="22" spans="1:4">
      <c r="A22" s="6"/>
      <c r="B22" s="6"/>
      <c r="C22" s="6"/>
      <c r="D22" s="6"/>
    </row>
    <row r="23" spans="1:4">
      <c r="A23" s="6"/>
      <c r="B23" s="6"/>
      <c r="C23" s="6"/>
      <c r="D23" s="6"/>
    </row>
    <row r="24" spans="1:4">
      <c r="A24" s="6"/>
      <c r="B24" s="6"/>
      <c r="C24" s="6"/>
      <c r="D24" s="6"/>
    </row>
    <row r="25" spans="1:4">
      <c r="A25" s="6"/>
      <c r="B25" s="6"/>
      <c r="C25" s="6"/>
      <c r="D25" s="6"/>
    </row>
    <row r="26" spans="1:4">
      <c r="A26" s="6"/>
      <c r="B26" s="6"/>
      <c r="C26" s="6"/>
      <c r="D26" s="6"/>
    </row>
    <row r="27" spans="1:4">
      <c r="A27" s="6"/>
      <c r="B27" s="6"/>
      <c r="C27" s="6"/>
      <c r="D27" s="6"/>
    </row>
    <row r="28" spans="1:4">
      <c r="A28" s="6"/>
      <c r="B28" s="6"/>
      <c r="C28" s="6"/>
      <c r="D28" s="6"/>
    </row>
    <row r="29" spans="1:4">
      <c r="A29" s="6"/>
      <c r="B29" s="6"/>
      <c r="C29" s="6"/>
      <c r="D29" s="6"/>
    </row>
    <row r="30" spans="1:4">
      <c r="A30" s="6"/>
      <c r="B30" s="6"/>
      <c r="C30" s="6"/>
      <c r="D30" s="6"/>
    </row>
    <row r="31" spans="1:4">
      <c r="A31" s="6"/>
      <c r="B31" s="6"/>
      <c r="C31" s="6"/>
      <c r="D31" s="6"/>
    </row>
    <row r="32" spans="1:4">
      <c r="A32" s="6"/>
      <c r="B32" s="6"/>
      <c r="C32" s="6"/>
      <c r="D32" s="6"/>
    </row>
    <row r="33" spans="1:4">
      <c r="A33" s="6"/>
      <c r="B33" s="6"/>
      <c r="C33" s="6"/>
      <c r="D33" s="6"/>
    </row>
    <row r="34" spans="1:4">
      <c r="A34" s="6"/>
      <c r="B34" s="6"/>
      <c r="C34" s="6"/>
      <c r="D34" s="6"/>
    </row>
    <row r="35" spans="1:4">
      <c r="A35" s="6"/>
      <c r="B35" s="6"/>
      <c r="C35" s="6"/>
      <c r="D35" s="6"/>
    </row>
    <row r="36" spans="1:4">
      <c r="A36" s="6"/>
      <c r="B36" s="6"/>
      <c r="C36" s="6"/>
      <c r="D36" s="6"/>
    </row>
    <row r="37" spans="1:4">
      <c r="A37" s="6"/>
      <c r="B37" s="6"/>
      <c r="C37" s="6"/>
      <c r="D37" s="6"/>
    </row>
    <row r="38" spans="1:4">
      <c r="A38" s="6"/>
      <c r="B38" s="6"/>
      <c r="C38" s="6"/>
      <c r="D38" s="6"/>
    </row>
    <row r="39" spans="1:4">
      <c r="A39" s="6"/>
      <c r="B39" s="6"/>
      <c r="C39" s="6"/>
      <c r="D39" s="6"/>
    </row>
    <row r="40" spans="1:4">
      <c r="A40" s="6"/>
      <c r="B40" s="6"/>
      <c r="C40" s="6"/>
      <c r="D40" s="6"/>
    </row>
    <row r="41" spans="1:4">
      <c r="A41" s="6"/>
      <c r="B41" s="6"/>
      <c r="C41" s="6"/>
      <c r="D41" s="6"/>
    </row>
    <row r="42" spans="1:4">
      <c r="A42" s="6"/>
      <c r="B42" s="6"/>
      <c r="C42" s="6"/>
      <c r="D42" s="6"/>
    </row>
    <row r="43" spans="1:4">
      <c r="A43" s="6"/>
      <c r="B43" s="6"/>
      <c r="C43" s="6"/>
      <c r="D43" s="6"/>
    </row>
    <row r="44" spans="1:4">
      <c r="A44" s="6"/>
      <c r="B44" s="6"/>
      <c r="C44" s="6"/>
      <c r="D44" s="6"/>
    </row>
    <row r="45" spans="1:4">
      <c r="A45" s="6"/>
      <c r="B45" s="6"/>
      <c r="C45" s="6"/>
      <c r="D45" s="6"/>
    </row>
    <row r="46" spans="1:4">
      <c r="A46" s="6"/>
      <c r="B46" s="6"/>
      <c r="C46" s="6"/>
      <c r="D46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tabSelected="1" zoomScale="90" zoomScaleNormal="90" zoomScalePageLayoutView="85" workbookViewId="0">
      <pane ySplit="1" topLeftCell="A2" activePane="bottomLeft" state="frozen"/>
      <selection pane="bottomLeft" activeCell="B11" sqref="B11"/>
    </sheetView>
  </sheetViews>
  <sheetFormatPr defaultColWidth="8.88671875" defaultRowHeight="14.4"/>
  <cols>
    <col min="1" max="1" width="41.6640625" style="15" customWidth="1"/>
    <col min="2" max="2" width="134.5546875" style="15" customWidth="1"/>
    <col min="3" max="3" width="8" style="15" bestFit="1" customWidth="1"/>
    <col min="4" max="4" width="9.88671875" style="15" bestFit="1" customWidth="1"/>
    <col min="5" max="5" width="42.44140625" style="15" customWidth="1"/>
    <col min="6" max="6" width="73.109375" style="37" customWidth="1"/>
    <col min="7" max="16384" width="8.88671875" style="15"/>
  </cols>
  <sheetData>
    <row r="1" spans="1:6" ht="33" customHeight="1">
      <c r="A1" s="3" t="s">
        <v>6</v>
      </c>
      <c r="B1" s="3" t="s">
        <v>1</v>
      </c>
      <c r="C1" s="3" t="s">
        <v>19</v>
      </c>
      <c r="D1" s="13" t="s">
        <v>10</v>
      </c>
      <c r="E1" s="3" t="s">
        <v>2</v>
      </c>
      <c r="F1" s="14" t="s">
        <v>13</v>
      </c>
    </row>
    <row r="2" spans="1:6" ht="28.8">
      <c r="A2" s="16" t="s">
        <v>9</v>
      </c>
      <c r="B2" s="16" t="str">
        <f ca="1">SUBSTITUTE(LEFT(CELL("filename",A1),FIND("]",CELL("filename",A1))-1),"[","")</f>
        <v>C:\Users\BingWu\Desktop\AUDATACLEANSING-DEV\BPR Process\Input\AU_Data_cleaning_Parm 0.2.xlsm</v>
      </c>
      <c r="C2" s="17" t="s">
        <v>3</v>
      </c>
      <c r="D2" s="16" t="s">
        <v>8</v>
      </c>
      <c r="E2" s="18" t="s">
        <v>31</v>
      </c>
      <c r="F2" s="19"/>
    </row>
    <row r="3" spans="1:6" ht="28.8">
      <c r="A3" s="17" t="s">
        <v>54</v>
      </c>
      <c r="B3" s="11" t="s">
        <v>93</v>
      </c>
      <c r="C3" s="17" t="s">
        <v>8</v>
      </c>
      <c r="D3" s="16" t="s">
        <v>8</v>
      </c>
      <c r="E3" s="48" t="s">
        <v>57</v>
      </c>
      <c r="F3" s="19"/>
    </row>
    <row r="4" spans="1:6">
      <c r="A4" s="17" t="s">
        <v>90</v>
      </c>
      <c r="B4" s="11">
        <v>20190131</v>
      </c>
      <c r="C4" s="17" t="s">
        <v>8</v>
      </c>
      <c r="D4" s="16" t="s">
        <v>8</v>
      </c>
      <c r="E4" s="48" t="s">
        <v>91</v>
      </c>
      <c r="F4" s="19"/>
    </row>
    <row r="5" spans="1:6">
      <c r="A5" s="17" t="s">
        <v>58</v>
      </c>
      <c r="B5" s="57" t="str">
        <f>CONCATENATE($B$19,"input\IBM AU QM Data Cleansing April'2017 Final.xlsx")</f>
        <v>C:\Users\BingWu\Desktop\AUDATACLEANSING-DEV\BPR Process\input\IBM AU QM Data Cleansing April'2017 Final.xlsx</v>
      </c>
      <c r="C5" s="17" t="s">
        <v>3</v>
      </c>
      <c r="D5" s="16" t="s">
        <v>4</v>
      </c>
      <c r="E5" s="48" t="s">
        <v>59</v>
      </c>
      <c r="F5" s="19"/>
    </row>
    <row r="6" spans="1:6">
      <c r="A6" s="55" t="s">
        <v>55</v>
      </c>
      <c r="B6" s="16" t="str">
        <f>CONCATENATE($B$19,"REF\SSL_PAWB_GVPIBM_AU sample.xlsm")</f>
        <v>C:\Users\BingWu\Desktop\AUDATACLEANSING-DEV\BPR Process\REF\SSL_PAWB_GVPIBM_AU sample.xlsm</v>
      </c>
      <c r="C6" s="17" t="s">
        <v>3</v>
      </c>
      <c r="D6" s="16" t="s">
        <v>8</v>
      </c>
      <c r="E6" s="48" t="s">
        <v>51</v>
      </c>
      <c r="F6" s="19"/>
    </row>
    <row r="7" spans="1:6">
      <c r="A7" s="55" t="s">
        <v>52</v>
      </c>
      <c r="B7" s="16" t="str">
        <f>CONCATENATE($B$19,"Output\SSL_PAWB_GVPIBM_AU_",$B$3, ".xlsx")</f>
        <v>C:\Users\BingWu\Desktop\AUDATACLEANSING-DEV\BPR Process\Output\SSL_PAWB_GVPIBM_AU_QM 201707.xlsx</v>
      </c>
      <c r="C7" s="17" t="s">
        <v>5</v>
      </c>
      <c r="D7" s="16" t="s">
        <v>4</v>
      </c>
      <c r="E7" s="48" t="s">
        <v>53</v>
      </c>
      <c r="F7" s="19"/>
    </row>
    <row r="8" spans="1:6" ht="28.8">
      <c r="A8" s="55" t="s">
        <v>88</v>
      </c>
      <c r="B8" s="16" t="str">
        <f>CONCATENATE($B$19,"Output\IBM AU QM Data Cleansing April'2017 Final ",$B$3, " after automation run.xlsm")</f>
        <v>C:\Users\BingWu\Desktop\AUDATACLEANSING-DEV\BPR Process\Output\IBM AU QM Data Cleansing April'2017 Final QM 201707 after automation run.xlsm</v>
      </c>
      <c r="C8" s="17" t="s">
        <v>5</v>
      </c>
      <c r="D8" s="16" t="s">
        <v>4</v>
      </c>
      <c r="E8" s="48" t="s">
        <v>89</v>
      </c>
      <c r="F8" s="19"/>
    </row>
    <row r="9" spans="1:6">
      <c r="A9" s="16" t="s">
        <v>46</v>
      </c>
      <c r="B9" s="16" t="str">
        <f>CONCATENATE($B$19,"Backup\AU_BPR ",$B$3,".zip")</f>
        <v>C:\Users\BingWu\Desktop\AUDATACLEANSING-DEV\BPR Process\Backup\AU_BPR QM 201707.zip</v>
      </c>
      <c r="C9" s="17" t="s">
        <v>5</v>
      </c>
      <c r="D9" s="16" t="s">
        <v>8</v>
      </c>
      <c r="E9" s="18" t="s">
        <v>20</v>
      </c>
      <c r="F9" s="19"/>
    </row>
    <row r="10" spans="1:6">
      <c r="A10" s="16" t="s">
        <v>47</v>
      </c>
      <c r="B10" s="16" t="str">
        <f>CONCATENATE($B$19,"Output\AU BPR Log ",$B$3,".txt")</f>
        <v>C:\Users\BingWu\Desktop\AUDATACLEANSING-DEV\BPR Process\Output\AU BPR Log QM 201707.txt</v>
      </c>
      <c r="C10" s="17" t="s">
        <v>5</v>
      </c>
      <c r="D10" s="16" t="s">
        <v>4</v>
      </c>
      <c r="E10" s="18" t="s">
        <v>38</v>
      </c>
      <c r="F10" s="19"/>
    </row>
    <row r="11" spans="1:6">
      <c r="A11" s="16" t="s">
        <v>48</v>
      </c>
      <c r="B11" s="16" t="str">
        <f>CONCATENATE($B$19,"Output\Macro Error Flag.txt")</f>
        <v>C:\Users\BingWu\Desktop\AUDATACLEANSING-DEV\BPR Process\Output\Macro Error Flag.txt</v>
      </c>
      <c r="C11" s="17" t="s">
        <v>5</v>
      </c>
      <c r="D11" s="16" t="s">
        <v>37</v>
      </c>
      <c r="E11" s="18" t="s">
        <v>39</v>
      </c>
      <c r="F11" s="19"/>
    </row>
    <row r="12" spans="1:6">
      <c r="A12" s="17" t="s">
        <v>56</v>
      </c>
      <c r="B12" s="43" t="s">
        <v>4</v>
      </c>
      <c r="C12" s="17" t="s">
        <v>8</v>
      </c>
      <c r="D12" s="17" t="s">
        <v>8</v>
      </c>
      <c r="E12" s="48" t="s">
        <v>43</v>
      </c>
      <c r="F12" s="19"/>
    </row>
    <row r="13" spans="1:6">
      <c r="A13" s="17" t="s">
        <v>16</v>
      </c>
      <c r="B13" s="43" t="s">
        <v>32</v>
      </c>
      <c r="C13" s="17" t="s">
        <v>8</v>
      </c>
      <c r="D13" s="17" t="s">
        <v>8</v>
      </c>
      <c r="E13" s="17" t="s">
        <v>0</v>
      </c>
      <c r="F13" s="19"/>
    </row>
    <row r="14" spans="1:6">
      <c r="A14" s="17" t="s">
        <v>12</v>
      </c>
      <c r="B14" s="53" t="s">
        <v>97</v>
      </c>
      <c r="C14" s="17" t="s">
        <v>8</v>
      </c>
      <c r="D14" s="17" t="s">
        <v>8</v>
      </c>
      <c r="E14" s="21" t="s">
        <v>27</v>
      </c>
      <c r="F14" s="19"/>
    </row>
    <row r="15" spans="1:6">
      <c r="A15" s="17" t="s">
        <v>14</v>
      </c>
      <c r="B15" s="53" t="s">
        <v>97</v>
      </c>
      <c r="C15" s="17" t="s">
        <v>8</v>
      </c>
      <c r="D15" s="17" t="s">
        <v>8</v>
      </c>
      <c r="E15" s="18" t="s">
        <v>28</v>
      </c>
      <c r="F15" s="19"/>
    </row>
    <row r="16" spans="1:6">
      <c r="A16" s="17" t="s">
        <v>15</v>
      </c>
      <c r="B16" s="53" t="s">
        <v>45</v>
      </c>
      <c r="C16" s="17" t="s">
        <v>8</v>
      </c>
      <c r="D16" s="17" t="s">
        <v>8</v>
      </c>
      <c r="E16" s="18" t="s">
        <v>29</v>
      </c>
      <c r="F16" s="19"/>
    </row>
    <row r="17" spans="1:6" ht="28.8">
      <c r="A17" s="17" t="s">
        <v>17</v>
      </c>
      <c r="B17" s="20" t="s">
        <v>4</v>
      </c>
      <c r="C17" s="17" t="s">
        <v>8</v>
      </c>
      <c r="D17" s="17" t="s">
        <v>8</v>
      </c>
      <c r="E17" s="18" t="s">
        <v>36</v>
      </c>
      <c r="F17" s="19"/>
    </row>
    <row r="18" spans="1:6">
      <c r="A18" s="17" t="s">
        <v>34</v>
      </c>
      <c r="B18" s="47" t="s">
        <v>94</v>
      </c>
      <c r="C18" s="17" t="s">
        <v>3</v>
      </c>
      <c r="D18" s="17" t="s">
        <v>8</v>
      </c>
      <c r="E18" s="18" t="s">
        <v>35</v>
      </c>
      <c r="F18" s="19"/>
    </row>
    <row r="19" spans="1:6">
      <c r="A19" s="17" t="s">
        <v>11</v>
      </c>
      <c r="B19" s="47" t="s">
        <v>95</v>
      </c>
      <c r="C19" s="44" t="s">
        <v>8</v>
      </c>
      <c r="D19" s="44" t="s">
        <v>8</v>
      </c>
      <c r="E19" s="18" t="s">
        <v>18</v>
      </c>
      <c r="F19" s="19"/>
    </row>
    <row r="20" spans="1:6" s="25" customFormat="1" ht="15" thickBot="1">
      <c r="A20" s="22"/>
      <c r="B20" s="45"/>
      <c r="C20" s="46"/>
      <c r="D20" s="46"/>
      <c r="E20" s="23"/>
      <c r="F20" s="24"/>
    </row>
    <row r="21" spans="1:6" ht="18">
      <c r="A21" s="26" t="s">
        <v>30</v>
      </c>
      <c r="B21" s="27"/>
      <c r="C21" s="27"/>
      <c r="D21" s="27"/>
      <c r="E21" s="27"/>
      <c r="F21" s="28"/>
    </row>
    <row r="22" spans="1:6">
      <c r="A22" s="29" t="s">
        <v>33</v>
      </c>
      <c r="B22" s="22"/>
      <c r="C22" s="22"/>
      <c r="D22" s="22"/>
      <c r="E22" s="22"/>
      <c r="F22" s="30"/>
    </row>
    <row r="23" spans="1:6">
      <c r="A23" s="29" t="s">
        <v>26</v>
      </c>
      <c r="B23" s="22"/>
      <c r="C23" s="22"/>
      <c r="D23" s="22"/>
      <c r="E23" s="22"/>
      <c r="F23" s="30"/>
    </row>
    <row r="24" spans="1:6">
      <c r="A24" s="29" t="s">
        <v>7</v>
      </c>
      <c r="B24" s="22"/>
      <c r="C24" s="22"/>
      <c r="D24" s="22"/>
      <c r="E24" s="22"/>
      <c r="F24" s="30"/>
    </row>
    <row r="25" spans="1:6">
      <c r="A25" s="31" t="s">
        <v>44</v>
      </c>
      <c r="B25" s="23"/>
      <c r="C25" s="22"/>
      <c r="D25" s="22"/>
      <c r="E25" s="22"/>
      <c r="F25" s="30"/>
    </row>
    <row r="26" spans="1:6" ht="15" thickBot="1">
      <c r="A26" s="32"/>
      <c r="B26" s="33"/>
      <c r="C26" s="33"/>
      <c r="D26" s="33"/>
      <c r="E26" s="33"/>
      <c r="F26" s="34"/>
    </row>
    <row r="28" spans="1:6">
      <c r="A28" s="35"/>
      <c r="B28" s="36"/>
      <c r="C28" s="36"/>
      <c r="D28" s="36"/>
      <c r="E28" s="36"/>
    </row>
    <row r="29" spans="1:6">
      <c r="A29" s="36"/>
      <c r="B29" s="36"/>
      <c r="C29" s="36"/>
      <c r="D29" s="36"/>
      <c r="E29" s="36"/>
    </row>
    <row r="30" spans="1:6">
      <c r="B30" s="38"/>
      <c r="C30" s="39"/>
    </row>
    <row r="31" spans="1:6">
      <c r="C31" s="40"/>
    </row>
    <row r="35" spans="2:2">
      <c r="B35" s="41"/>
    </row>
    <row r="36" spans="2:2">
      <c r="B36" s="42"/>
    </row>
  </sheetData>
  <phoneticPr fontId="2" type="noConversion"/>
  <hyperlinks>
    <hyperlink ref="B14" r:id="rId1"/>
    <hyperlink ref="B15" r:id="rId2"/>
    <hyperlink ref="B16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7"/>
  <sheetViews>
    <sheetView workbookViewId="0">
      <selection activeCell="A16" sqref="A16"/>
    </sheetView>
  </sheetViews>
  <sheetFormatPr defaultColWidth="8.88671875" defaultRowHeight="14.4"/>
  <cols>
    <col min="1" max="1" width="60.88671875" style="2" customWidth="1"/>
    <col min="2" max="6" width="10.6640625" style="2" customWidth="1"/>
    <col min="7" max="16384" width="8.88671875" style="2"/>
  </cols>
  <sheetData>
    <row r="1" spans="1:7" ht="14.4" customHeight="1">
      <c r="A1" s="63" t="s">
        <v>50</v>
      </c>
      <c r="B1" s="63"/>
      <c r="C1" s="63"/>
      <c r="D1" s="63"/>
      <c r="E1" s="63"/>
      <c r="F1" s="63"/>
      <c r="G1" s="8"/>
    </row>
    <row r="2" spans="1:7">
      <c r="A2" s="63"/>
      <c r="B2" s="63"/>
      <c r="C2" s="63"/>
      <c r="D2" s="63"/>
      <c r="E2" s="63"/>
      <c r="F2" s="63"/>
      <c r="G2" s="8"/>
    </row>
    <row r="3" spans="1:7" ht="23.4" customHeight="1">
      <c r="A3" s="63"/>
      <c r="B3" s="63"/>
      <c r="C3" s="63"/>
      <c r="D3" s="63"/>
      <c r="E3" s="63"/>
      <c r="F3" s="63"/>
      <c r="G3" s="8"/>
    </row>
    <row r="4" spans="1:7" ht="32.4" customHeight="1">
      <c r="A4" s="63"/>
      <c r="B4" s="63"/>
      <c r="C4" s="63"/>
      <c r="D4" s="63"/>
      <c r="E4" s="63"/>
      <c r="F4" s="63"/>
      <c r="G4" s="8"/>
    </row>
    <row r="5" spans="1:7">
      <c r="A5" s="12"/>
      <c r="B5" s="12"/>
      <c r="C5" s="12"/>
      <c r="D5" s="12"/>
      <c r="E5" s="12"/>
      <c r="F5" s="12"/>
    </row>
    <row r="6" spans="1:7">
      <c r="C6" s="9"/>
      <c r="D6" s="9"/>
      <c r="E6" s="9"/>
      <c r="F6" s="9"/>
    </row>
    <row r="7" spans="1:7">
      <c r="C7" s="10"/>
      <c r="D7" s="10"/>
      <c r="E7" s="54"/>
      <c r="F7" s="54"/>
    </row>
  </sheetData>
  <mergeCells count="1">
    <mergeCell ref="A1:F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disabled="1" autoLine="0" autoPict="0" r:id="rId5">
            <anchor moveWithCells="1">
              <from>
                <xdr:col>0</xdr:col>
                <xdr:colOff>1165860</xdr:colOff>
                <xdr:row>6</xdr:row>
                <xdr:rowOff>38100</xdr:rowOff>
              </from>
              <to>
                <xdr:col>0</xdr:col>
                <xdr:colOff>3832860</xdr:colOff>
                <xdr:row>10</xdr:row>
                <xdr:rowOff>22860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"/>
  <sheetViews>
    <sheetView workbookViewId="0">
      <selection activeCell="A2" sqref="A2:P2"/>
    </sheetView>
  </sheetViews>
  <sheetFormatPr defaultRowHeight="14.4"/>
  <cols>
    <col min="1" max="1" width="9.88671875" customWidth="1"/>
    <col min="2" max="2" width="9.44140625" customWidth="1"/>
    <col min="3" max="3" width="10.33203125" customWidth="1"/>
    <col min="4" max="4" width="8.21875" bestFit="1" customWidth="1"/>
    <col min="5" max="5" width="8.33203125" bestFit="1" customWidth="1"/>
    <col min="6" max="6" width="7.33203125" customWidth="1"/>
    <col min="7" max="7" width="8" bestFit="1" customWidth="1"/>
    <col min="8" max="8" width="13.21875" customWidth="1"/>
    <col min="9" max="9" width="8" bestFit="1" customWidth="1"/>
    <col min="10" max="10" width="8.44140625" bestFit="1" customWidth="1"/>
  </cols>
  <sheetData>
    <row r="1" spans="1:17" ht="40.799999999999997">
      <c r="A1" s="49" t="s">
        <v>60</v>
      </c>
      <c r="B1" s="49" t="s">
        <v>61</v>
      </c>
      <c r="C1" s="49" t="s">
        <v>62</v>
      </c>
      <c r="D1" s="49" t="s">
        <v>63</v>
      </c>
      <c r="E1" s="49" t="s">
        <v>64</v>
      </c>
      <c r="F1" s="49" t="s">
        <v>65</v>
      </c>
      <c r="G1" s="49" t="s">
        <v>66</v>
      </c>
      <c r="H1" s="49" t="s">
        <v>67</v>
      </c>
      <c r="I1" s="49" t="s">
        <v>68</v>
      </c>
      <c r="J1" s="49" t="s">
        <v>69</v>
      </c>
      <c r="K1" s="49" t="s">
        <v>70</v>
      </c>
      <c r="L1" s="49" t="s">
        <v>71</v>
      </c>
      <c r="M1" s="49" t="s">
        <v>72</v>
      </c>
      <c r="N1" s="49" t="s">
        <v>73</v>
      </c>
      <c r="O1" s="49" t="s">
        <v>74</v>
      </c>
      <c r="P1" s="49" t="s">
        <v>75</v>
      </c>
      <c r="Q1" s="50" t="s">
        <v>40</v>
      </c>
    </row>
    <row r="2" spans="1:17" ht="40.799999999999997">
      <c r="A2" s="56" t="s">
        <v>60</v>
      </c>
      <c r="B2" s="56" t="s">
        <v>61</v>
      </c>
      <c r="C2" s="56" t="s">
        <v>62</v>
      </c>
      <c r="D2" s="56" t="s">
        <v>63</v>
      </c>
      <c r="E2" s="56" t="s">
        <v>64</v>
      </c>
      <c r="F2" s="56" t="s">
        <v>65</v>
      </c>
      <c r="G2" s="56" t="s">
        <v>66</v>
      </c>
      <c r="H2" s="56" t="s">
        <v>67</v>
      </c>
      <c r="I2" s="56" t="s">
        <v>68</v>
      </c>
      <c r="J2" s="56" t="s">
        <v>69</v>
      </c>
      <c r="K2" s="56" t="s">
        <v>70</v>
      </c>
      <c r="L2" s="56" t="s">
        <v>71</v>
      </c>
      <c r="M2" s="56" t="s">
        <v>72</v>
      </c>
      <c r="N2" s="56" t="s">
        <v>96</v>
      </c>
      <c r="O2" s="56" t="s">
        <v>74</v>
      </c>
      <c r="P2" s="56" t="s">
        <v>75</v>
      </c>
      <c r="Q2" s="52" t="s">
        <v>42</v>
      </c>
    </row>
    <row r="3" spans="1:17">
      <c r="A3" s="51" t="str">
        <f>IF(A1&lt;&gt;A2,"error","")</f>
        <v/>
      </c>
      <c r="B3" s="51" t="str">
        <f t="shared" ref="B3:I3" si="0">IF(B1&lt;&gt;B2,"error","")</f>
        <v/>
      </c>
      <c r="C3" s="51" t="str">
        <f t="shared" si="0"/>
        <v/>
      </c>
      <c r="D3" s="51" t="str">
        <f t="shared" si="0"/>
        <v/>
      </c>
      <c r="E3" s="51" t="str">
        <f t="shared" si="0"/>
        <v/>
      </c>
      <c r="F3" s="51" t="str">
        <f t="shared" si="0"/>
        <v/>
      </c>
      <c r="G3" s="51" t="str">
        <f t="shared" si="0"/>
        <v/>
      </c>
      <c r="H3" s="51" t="str">
        <f t="shared" si="0"/>
        <v/>
      </c>
      <c r="I3" s="51" t="str">
        <f t="shared" si="0"/>
        <v/>
      </c>
      <c r="J3" s="51"/>
      <c r="K3" s="51"/>
      <c r="L3" s="51"/>
      <c r="M3" s="51"/>
      <c r="N3" s="51"/>
      <c r="O3" s="51"/>
      <c r="P3" s="51"/>
      <c r="Q3" s="50" t="s"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12"/>
  <sheetViews>
    <sheetView workbookViewId="0">
      <selection activeCell="F21" sqref="F21"/>
    </sheetView>
  </sheetViews>
  <sheetFormatPr defaultRowHeight="14.4"/>
  <cols>
    <col min="1" max="1" width="8.88671875" style="59"/>
    <col min="2" max="2" width="20.77734375" style="59" customWidth="1"/>
    <col min="3" max="3" width="23.44140625" style="59" customWidth="1"/>
    <col min="4" max="4" width="15.21875" style="59" bestFit="1" customWidth="1"/>
    <col min="5" max="16384" width="8.88671875" style="59"/>
  </cols>
  <sheetData>
    <row r="1" spans="2:7">
      <c r="B1" s="58" t="s">
        <v>76</v>
      </c>
    </row>
    <row r="3" spans="2:7">
      <c r="B3" s="60" t="s">
        <v>77</v>
      </c>
      <c r="C3" s="59" t="s">
        <v>78</v>
      </c>
    </row>
    <row r="4" spans="2:7">
      <c r="B4" s="60" t="s">
        <v>79</v>
      </c>
      <c r="C4" s="59" t="s">
        <v>80</v>
      </c>
    </row>
    <row r="5" spans="2:7">
      <c r="B5" s="60" t="s">
        <v>81</v>
      </c>
      <c r="C5" s="59" t="s">
        <v>82</v>
      </c>
    </row>
    <row r="6" spans="2:7">
      <c r="B6" s="60" t="s">
        <v>83</v>
      </c>
      <c r="C6" s="59" t="s">
        <v>84</v>
      </c>
    </row>
    <row r="9" spans="2:7">
      <c r="B9" s="58" t="s">
        <v>85</v>
      </c>
    </row>
    <row r="11" spans="2:7">
      <c r="B11" s="61" t="s">
        <v>60</v>
      </c>
      <c r="C11" s="61" t="s">
        <v>61</v>
      </c>
      <c r="D11" s="61" t="s">
        <v>86</v>
      </c>
      <c r="E11" s="61" t="s">
        <v>87</v>
      </c>
      <c r="F11" s="61"/>
      <c r="G11" s="61"/>
    </row>
    <row r="12" spans="2:7">
      <c r="B12" s="62"/>
      <c r="C12" s="62"/>
      <c r="D12" s="62"/>
      <c r="E12" s="62"/>
      <c r="F12" s="62"/>
      <c r="G12" s="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Version_Control</vt:lpstr>
      <vt:lpstr>AU_data_cleaning_Parm</vt:lpstr>
      <vt:lpstr>Manual_Run</vt:lpstr>
      <vt:lpstr>F1_Header</vt:lpstr>
      <vt:lpstr>Summary sample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 Vu</dc:creator>
  <cp:lastModifiedBy>Bing Wu</cp:lastModifiedBy>
  <dcterms:created xsi:type="dcterms:W3CDTF">2017-04-26T10:41:58Z</dcterms:created>
  <dcterms:modified xsi:type="dcterms:W3CDTF">2018-03-04T08:36:19Z</dcterms:modified>
</cp:coreProperties>
</file>